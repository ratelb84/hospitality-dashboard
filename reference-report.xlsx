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macbookpro/Desktop/"/>
    </mc:Choice>
  </mc:AlternateContent>
  <xr:revisionPtr revIDLastSave="0" documentId="8_{7EE42E57-E8B4-7545-B0FE-31F1B23CE1D8}" xr6:coauthVersionLast="47" xr6:coauthVersionMax="47" xr10:uidLastSave="{00000000-0000-0000-0000-000000000000}"/>
  <bookViews>
    <workbookView xWindow="5180" yWindow="4280" windowWidth="26840" windowHeight="15680" xr2:uid="{800C6037-F5B7-4B43-9D23-0104DBCFB5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I13" i="1"/>
  <c r="C13" i="1"/>
  <c r="G13" i="1" s="1"/>
  <c r="K12" i="1"/>
  <c r="I12" i="1"/>
  <c r="C12" i="1"/>
  <c r="G12" i="1" s="1"/>
  <c r="K11" i="1"/>
  <c r="I11" i="1"/>
  <c r="C11" i="1"/>
  <c r="E11" i="1" s="1"/>
  <c r="K10" i="1"/>
  <c r="I10" i="1"/>
  <c r="C10" i="1"/>
  <c r="G10" i="1" s="1"/>
  <c r="K9" i="1"/>
  <c r="I9" i="1"/>
  <c r="C9" i="1"/>
  <c r="G9" i="1" s="1"/>
  <c r="K8" i="1"/>
  <c r="I8" i="1"/>
  <c r="C8" i="1"/>
  <c r="G8" i="1" s="1"/>
  <c r="K7" i="1"/>
  <c r="I7" i="1"/>
  <c r="C7" i="1"/>
  <c r="G7" i="1" s="1"/>
  <c r="K6" i="1"/>
  <c r="I6" i="1"/>
  <c r="G6" i="1"/>
  <c r="E6" i="1"/>
  <c r="J6" i="1" s="1"/>
  <c r="K5" i="1"/>
  <c r="I5" i="1"/>
  <c r="C5" i="1"/>
  <c r="G5" i="1" s="1"/>
  <c r="K4" i="1"/>
  <c r="I4" i="1"/>
  <c r="G4" i="1"/>
  <c r="C4" i="1"/>
  <c r="E4" i="1" s="1"/>
  <c r="K3" i="1"/>
  <c r="I3" i="1"/>
  <c r="C3" i="1"/>
  <c r="E3" i="1" s="1"/>
  <c r="K2" i="1"/>
  <c r="I2" i="1"/>
  <c r="G2" i="1"/>
  <c r="C2" i="1"/>
  <c r="E2" i="1" s="1"/>
  <c r="E13" i="1" l="1"/>
  <c r="J13" i="1" s="1"/>
  <c r="G3" i="1"/>
  <c r="J3" i="1"/>
  <c r="H3" i="1"/>
  <c r="J4" i="1"/>
  <c r="H4" i="1"/>
  <c r="J11" i="1"/>
  <c r="H11" i="1"/>
  <c r="H2" i="1"/>
  <c r="J2" i="1"/>
  <c r="H13" i="1"/>
  <c r="E5" i="1"/>
  <c r="H6" i="1"/>
  <c r="E7" i="1"/>
  <c r="E8" i="1"/>
  <c r="E9" i="1"/>
  <c r="E10" i="1"/>
  <c r="E12" i="1"/>
  <c r="G11" i="1"/>
  <c r="J5" i="1" l="1"/>
  <c r="H5" i="1"/>
  <c r="J12" i="1"/>
  <c r="H12" i="1"/>
  <c r="J10" i="1"/>
  <c r="H10" i="1"/>
  <c r="J9" i="1"/>
  <c r="H9" i="1"/>
  <c r="J8" i="1"/>
  <c r="H8" i="1"/>
  <c r="J7" i="1"/>
  <c r="H7" i="1"/>
</calcChain>
</file>

<file path=xl/sharedStrings.xml><?xml version="1.0" encoding="utf-8"?>
<sst xmlns="http://schemas.openxmlformats.org/spreadsheetml/2006/main" count="13" uniqueCount="13">
  <si>
    <t>Month</t>
  </si>
  <si>
    <t>Available Bed Nights</t>
  </si>
  <si>
    <t>Confirmed Bed Nights</t>
  </si>
  <si>
    <t>Provisonal Bed Nights</t>
  </si>
  <si>
    <t>Total Bednights</t>
  </si>
  <si>
    <t>Target Bed Nights</t>
  </si>
  <si>
    <t>Confimed Occupancy %</t>
  </si>
  <si>
    <t>Total Occupancy %</t>
  </si>
  <si>
    <t>Occupancy Target %</t>
  </si>
  <si>
    <t>Average Rate</t>
  </si>
  <si>
    <t>Average Rate Target</t>
  </si>
  <si>
    <t>Total Revenue</t>
  </si>
  <si>
    <t>Budget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</si>
</sst>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.00"/>
    <numFmt numFmtId="165" formatCode="&quot;R&quot;#,##0"/>
    <numFmt numFmtId="166" formatCode="[$R-1C09]#,##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i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3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0" fontId="4" fillId="0" borderId="2" xfId="0" applyNumberFormat="1" applyFont="1" applyBorder="1" applyAlignment="1">
      <alignment horizontal="center"/>
    </xf>
    <xf numFmtId="9" fontId="5" fillId="0" borderId="2" xfId="0" applyNumberFormat="1" applyFont="1" applyBorder="1" applyAlignment="1" applyProtection="1">
      <alignment horizontal="center"/>
      <protection locked="0"/>
    </xf>
    <xf numFmtId="165" fontId="6" fillId="0" borderId="2" xfId="0" applyNumberFormat="1" applyFont="1" applyBorder="1" applyAlignment="1" applyProtection="1">
      <alignment horizontal="center"/>
      <protection locked="0"/>
    </xf>
    <xf numFmtId="165" fontId="4" fillId="0" borderId="2" xfId="0" applyNumberFormat="1" applyFont="1" applyBorder="1" applyAlignment="1" applyProtection="1">
      <alignment horizontal="center"/>
      <protection locked="0"/>
    </xf>
    <xf numFmtId="166" fontId="6" fillId="0" borderId="2" xfId="0" applyNumberFormat="1" applyFont="1" applyBorder="1" applyAlignment="1">
      <alignment horizontal="center"/>
    </xf>
    <xf numFmtId="166" fontId="4" fillId="2" borderId="2" xfId="0" applyNumberFormat="1" applyFont="1" applyFill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10" fontId="4" fillId="0" borderId="0" xfId="0" applyNumberFormat="1" applyFont="1" applyAlignment="1">
      <alignment horizontal="center"/>
    </xf>
    <xf numFmtId="9" fontId="5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166" fontId="6" fillId="0" borderId="0" xfId="0" applyNumberFormat="1" applyFont="1" applyAlignment="1">
      <alignment horizontal="center"/>
    </xf>
    <xf numFmtId="166" fontId="4" fillId="2" borderId="0" xfId="0" applyNumberFormat="1" applyFont="1" applyFill="1" applyAlignment="1">
      <alignment horizontal="center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9" fontId="5" fillId="0" borderId="4" xfId="0" applyNumberFormat="1" applyFont="1" applyBorder="1" applyAlignment="1" applyProtection="1">
      <alignment horizontal="center"/>
      <protection locked="0"/>
    </xf>
    <xf numFmtId="165" fontId="6" fillId="0" borderId="4" xfId="0" applyNumberFormat="1" applyFont="1" applyBorder="1" applyAlignment="1" applyProtection="1">
      <alignment horizontal="center"/>
      <protection locked="0"/>
    </xf>
    <xf numFmtId="165" fontId="4" fillId="0" borderId="4" xfId="0" applyNumberFormat="1" applyFont="1" applyBorder="1" applyAlignment="1" applyProtection="1">
      <alignment horizontal="center"/>
      <protection locked="0"/>
    </xf>
    <xf numFmtId="166" fontId="6" fillId="0" borderId="4" xfId="0" applyNumberFormat="1" applyFont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B456-5F8C-1C45-ABEE-01AD835A3129}">
  <dimension ref="A1:M13"/>
  <sheetViews>
    <sheetView tabSelected="1" topLeftCell="C1" workbookViewId="0">
      <selection activeCell="H18" sqref="H18"/>
    </sheetView>
  </sheetViews>
  <sheetFormatPr baseColWidth="10" defaultRowHeight="16" x14ac:dyDescent="0.2"/>
  <cols>
    <col min="1" max="1" width="7.1640625" bestFit="1" customWidth="1"/>
    <col min="2" max="2" width="18.1640625" bestFit="1" customWidth="1"/>
    <col min="3" max="3" width="19.5" bestFit="1" customWidth="1"/>
    <col min="4" max="4" width="19.33203125" bestFit="1" customWidth="1"/>
    <col min="5" max="5" width="13.83203125" bestFit="1" customWidth="1"/>
    <col min="6" max="6" width="15.6640625" bestFit="1" customWidth="1"/>
    <col min="7" max="7" width="20.83203125" bestFit="1" customWidth="1"/>
    <col min="8" max="8" width="16.6640625" bestFit="1" customWidth="1"/>
    <col min="9" max="9" width="17.83203125" bestFit="1" customWidth="1"/>
    <col min="10" max="10" width="12" bestFit="1" customWidth="1"/>
    <col min="11" max="11" width="17.6640625" bestFit="1" customWidth="1"/>
    <col min="12" max="12" width="12.5" bestFit="1" customWidth="1"/>
    <col min="13" max="13" width="14.33203125" bestFit="1" customWidth="1"/>
  </cols>
  <sheetData>
    <row r="1" spans="1:13" s="8" customFormat="1" ht="1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5" t="s">
        <v>11</v>
      </c>
      <c r="M1" s="7" t="s">
        <v>12</v>
      </c>
    </row>
    <row r="2" spans="1:13" x14ac:dyDescent="0.2">
      <c r="A2" s="9">
        <v>45717</v>
      </c>
      <c r="B2" s="10">
        <v>682</v>
      </c>
      <c r="C2" s="10">
        <f>480-44</f>
        <v>436</v>
      </c>
      <c r="D2" s="10">
        <v>0</v>
      </c>
      <c r="E2" s="11">
        <f t="shared" ref="E2:E13" si="0">SUM(C2:D2)</f>
        <v>436</v>
      </c>
      <c r="F2" s="10">
        <v>466</v>
      </c>
      <c r="G2" s="12">
        <f>SUM(C2:C2)/B2</f>
        <v>0.63929618768328444</v>
      </c>
      <c r="H2" s="12">
        <f t="shared" ref="H2:H13" si="1">E2/B2</f>
        <v>0.63929618768328444</v>
      </c>
      <c r="I2" s="13">
        <f t="shared" ref="I2:I13" si="2">F2/B2</f>
        <v>0.68328445747800581</v>
      </c>
      <c r="J2" s="14">
        <f>L2/E2</f>
        <v>3811.1063302752295</v>
      </c>
      <c r="K2" s="15">
        <f>M2/F2</f>
        <v>3937.3905579399143</v>
      </c>
      <c r="L2" s="16">
        <v>1661642.36</v>
      </c>
      <c r="M2" s="17">
        <v>1834824</v>
      </c>
    </row>
    <row r="3" spans="1:13" x14ac:dyDescent="0.2">
      <c r="A3" s="18">
        <v>45748</v>
      </c>
      <c r="B3" s="19">
        <v>616</v>
      </c>
      <c r="C3" s="19">
        <f>499-34</f>
        <v>465</v>
      </c>
      <c r="D3" s="19">
        <v>0</v>
      </c>
      <c r="E3" s="20">
        <f t="shared" si="0"/>
        <v>465</v>
      </c>
      <c r="F3" s="19">
        <v>538</v>
      </c>
      <c r="G3" s="21">
        <f t="shared" ref="G3:G13" si="3">SUM(C3:C3)/B3</f>
        <v>0.75487012987012991</v>
      </c>
      <c r="H3" s="21">
        <f t="shared" si="1"/>
        <v>0.75487012987012991</v>
      </c>
      <c r="I3" s="22">
        <f t="shared" si="2"/>
        <v>0.87337662337662336</v>
      </c>
      <c r="J3" s="23">
        <f t="shared" ref="J3:K13" si="4">L3/E3</f>
        <v>4191.0205376344084</v>
      </c>
      <c r="K3" s="24">
        <f t="shared" si="4"/>
        <v>4445.130111524164</v>
      </c>
      <c r="L3" s="25">
        <v>1948824.55</v>
      </c>
      <c r="M3" s="26">
        <v>2391480</v>
      </c>
    </row>
    <row r="4" spans="1:13" x14ac:dyDescent="0.2">
      <c r="A4" s="18">
        <v>45778</v>
      </c>
      <c r="B4" s="19">
        <v>682</v>
      </c>
      <c r="C4" s="19">
        <f>331-12</f>
        <v>319</v>
      </c>
      <c r="D4" s="19">
        <v>0</v>
      </c>
      <c r="E4" s="20">
        <f t="shared" si="0"/>
        <v>319</v>
      </c>
      <c r="F4" s="19">
        <v>464</v>
      </c>
      <c r="G4" s="21">
        <f t="shared" si="3"/>
        <v>0.46774193548387094</v>
      </c>
      <c r="H4" s="21">
        <f t="shared" si="1"/>
        <v>0.46774193548387094</v>
      </c>
      <c r="I4" s="22">
        <f t="shared" si="2"/>
        <v>0.68035190615835772</v>
      </c>
      <c r="J4" s="23">
        <f t="shared" si="4"/>
        <v>4216.3020062695923</v>
      </c>
      <c r="K4" s="24">
        <f t="shared" si="4"/>
        <v>4299.5797413793107</v>
      </c>
      <c r="L4" s="25">
        <v>1345000.34</v>
      </c>
      <c r="M4" s="26">
        <v>1995005</v>
      </c>
    </row>
    <row r="5" spans="1:13" x14ac:dyDescent="0.2">
      <c r="A5" s="18">
        <v>45809</v>
      </c>
      <c r="B5" s="19">
        <v>660</v>
      </c>
      <c r="C5" s="19">
        <f>235-38</f>
        <v>197</v>
      </c>
      <c r="D5" s="19">
        <v>0</v>
      </c>
      <c r="E5" s="20">
        <f t="shared" si="0"/>
        <v>197</v>
      </c>
      <c r="F5" s="19">
        <v>457</v>
      </c>
      <c r="G5" s="21">
        <f t="shared" si="3"/>
        <v>0.29848484848484846</v>
      </c>
      <c r="H5" s="21">
        <f t="shared" si="1"/>
        <v>0.29848484848484846</v>
      </c>
      <c r="I5" s="22">
        <f t="shared" si="2"/>
        <v>0.69242424242424239</v>
      </c>
      <c r="J5" s="23">
        <f t="shared" si="4"/>
        <v>4409.5904060913708</v>
      </c>
      <c r="K5" s="24">
        <f t="shared" si="4"/>
        <v>4356.6367614879646</v>
      </c>
      <c r="L5" s="25">
        <v>868689.31</v>
      </c>
      <c r="M5" s="26">
        <v>1990983</v>
      </c>
    </row>
    <row r="6" spans="1:13" x14ac:dyDescent="0.2">
      <c r="A6" s="18">
        <v>45839</v>
      </c>
      <c r="B6" s="19">
        <v>682</v>
      </c>
      <c r="C6" s="19">
        <v>525</v>
      </c>
      <c r="D6" s="19">
        <v>0</v>
      </c>
      <c r="E6" s="20">
        <f t="shared" si="0"/>
        <v>525</v>
      </c>
      <c r="F6" s="19">
        <v>568</v>
      </c>
      <c r="G6" s="21">
        <f t="shared" si="3"/>
        <v>0.76979472140762462</v>
      </c>
      <c r="H6" s="21">
        <f t="shared" si="1"/>
        <v>0.76979472140762462</v>
      </c>
      <c r="I6" s="22">
        <f t="shared" si="2"/>
        <v>0.83284457478005869</v>
      </c>
      <c r="J6" s="23">
        <f t="shared" si="4"/>
        <v>4068.0718095238099</v>
      </c>
      <c r="K6" s="24">
        <f t="shared" si="4"/>
        <v>5248</v>
      </c>
      <c r="L6" s="25">
        <v>2135737.7000000002</v>
      </c>
      <c r="M6" s="26">
        <v>2980864</v>
      </c>
    </row>
    <row r="7" spans="1:13" x14ac:dyDescent="0.2">
      <c r="A7" s="18">
        <v>45870</v>
      </c>
      <c r="B7" s="19">
        <v>682</v>
      </c>
      <c r="C7" s="19">
        <f>525-5</f>
        <v>520</v>
      </c>
      <c r="D7" s="19">
        <v>0</v>
      </c>
      <c r="E7" s="20">
        <f t="shared" si="0"/>
        <v>520</v>
      </c>
      <c r="F7" s="19">
        <v>446</v>
      </c>
      <c r="G7" s="21">
        <f t="shared" si="3"/>
        <v>0.76246334310850439</v>
      </c>
      <c r="H7" s="21">
        <f t="shared" si="1"/>
        <v>0.76246334310850439</v>
      </c>
      <c r="I7" s="22">
        <f t="shared" si="2"/>
        <v>0.6539589442815249</v>
      </c>
      <c r="J7" s="23">
        <f t="shared" si="4"/>
        <v>3838.7130576923078</v>
      </c>
      <c r="K7" s="24">
        <f t="shared" si="4"/>
        <v>4406.6076233183858</v>
      </c>
      <c r="L7" s="25">
        <v>1996130.79</v>
      </c>
      <c r="M7" s="26">
        <v>1965347</v>
      </c>
    </row>
    <row r="8" spans="1:13" x14ac:dyDescent="0.2">
      <c r="A8" s="18">
        <v>45901</v>
      </c>
      <c r="B8" s="20">
        <v>660</v>
      </c>
      <c r="C8" s="19">
        <f>516-6</f>
        <v>510</v>
      </c>
      <c r="D8" s="19">
        <v>0</v>
      </c>
      <c r="E8" s="20">
        <f t="shared" si="0"/>
        <v>510</v>
      </c>
      <c r="F8" s="20">
        <v>448</v>
      </c>
      <c r="G8" s="21">
        <f t="shared" si="3"/>
        <v>0.77272727272727271</v>
      </c>
      <c r="H8" s="21">
        <f t="shared" si="1"/>
        <v>0.77272727272727271</v>
      </c>
      <c r="I8" s="22">
        <f t="shared" si="2"/>
        <v>0.67878787878787883</v>
      </c>
      <c r="J8" s="23">
        <f t="shared" si="4"/>
        <v>4247.9147647058817</v>
      </c>
      <c r="K8" s="24">
        <f t="shared" si="4"/>
        <v>4460.3482142857147</v>
      </c>
      <c r="L8" s="25">
        <v>2166436.5299999998</v>
      </c>
      <c r="M8" s="26">
        <v>1998236</v>
      </c>
    </row>
    <row r="9" spans="1:13" x14ac:dyDescent="0.2">
      <c r="A9" s="18">
        <v>45931</v>
      </c>
      <c r="B9" s="20">
        <v>682</v>
      </c>
      <c r="C9" s="19">
        <f>613-10</f>
        <v>603</v>
      </c>
      <c r="D9" s="19">
        <v>0</v>
      </c>
      <c r="E9" s="20">
        <f t="shared" si="0"/>
        <v>603</v>
      </c>
      <c r="F9" s="20">
        <v>510</v>
      </c>
      <c r="G9" s="21">
        <f t="shared" si="3"/>
        <v>0.88416422287390029</v>
      </c>
      <c r="H9" s="21">
        <f t="shared" si="1"/>
        <v>0.88416422287390029</v>
      </c>
      <c r="I9" s="22">
        <f t="shared" si="2"/>
        <v>0.74780058651026393</v>
      </c>
      <c r="J9" s="23">
        <f t="shared" si="4"/>
        <v>4124.6141127694864</v>
      </c>
      <c r="K9" s="24">
        <f t="shared" si="4"/>
        <v>4671.3039215686276</v>
      </c>
      <c r="L9" s="25">
        <v>2487142.31</v>
      </c>
      <c r="M9" s="26">
        <v>2382365</v>
      </c>
    </row>
    <row r="10" spans="1:13" x14ac:dyDescent="0.2">
      <c r="A10" s="18">
        <v>45962</v>
      </c>
      <c r="B10" s="20">
        <v>660</v>
      </c>
      <c r="C10" s="19">
        <f>515-33</f>
        <v>482</v>
      </c>
      <c r="D10" s="19">
        <v>0</v>
      </c>
      <c r="E10" s="20">
        <f t="shared" si="0"/>
        <v>482</v>
      </c>
      <c r="F10" s="20">
        <v>440</v>
      </c>
      <c r="G10" s="21">
        <f t="shared" si="3"/>
        <v>0.73030303030303034</v>
      </c>
      <c r="H10" s="21">
        <f t="shared" si="1"/>
        <v>0.73030303030303034</v>
      </c>
      <c r="I10" s="22">
        <f t="shared" si="2"/>
        <v>0.66666666666666663</v>
      </c>
      <c r="J10" s="23">
        <f t="shared" si="4"/>
        <v>4117.3206431535273</v>
      </c>
      <c r="K10" s="24">
        <f t="shared" si="4"/>
        <v>4442.4340909090906</v>
      </c>
      <c r="L10" s="25">
        <v>1984548.55</v>
      </c>
      <c r="M10" s="26">
        <v>1954671</v>
      </c>
    </row>
    <row r="11" spans="1:13" x14ac:dyDescent="0.2">
      <c r="A11" s="18">
        <v>45992</v>
      </c>
      <c r="B11" s="20">
        <v>682</v>
      </c>
      <c r="C11" s="19">
        <f>643-42</f>
        <v>601</v>
      </c>
      <c r="D11" s="19">
        <v>0</v>
      </c>
      <c r="E11" s="20">
        <f t="shared" si="0"/>
        <v>601</v>
      </c>
      <c r="F11" s="20">
        <v>600</v>
      </c>
      <c r="G11" s="21">
        <f t="shared" si="3"/>
        <v>0.88123167155425219</v>
      </c>
      <c r="H11" s="21">
        <f t="shared" si="1"/>
        <v>0.88123167155425219</v>
      </c>
      <c r="I11" s="22">
        <f t="shared" si="2"/>
        <v>0.87976539589442815</v>
      </c>
      <c r="J11" s="23">
        <f>L11/E11</f>
        <v>4346.4287188019971</v>
      </c>
      <c r="K11" s="24">
        <f t="shared" si="4"/>
        <v>5419.13</v>
      </c>
      <c r="L11" s="25">
        <v>2612203.66</v>
      </c>
      <c r="M11" s="26">
        <v>3251478</v>
      </c>
    </row>
    <row r="12" spans="1:13" x14ac:dyDescent="0.2">
      <c r="A12" s="18">
        <v>46023</v>
      </c>
      <c r="B12" s="20">
        <v>682</v>
      </c>
      <c r="C12" s="19">
        <f>554-6</f>
        <v>548</v>
      </c>
      <c r="D12" s="19">
        <v>0</v>
      </c>
      <c r="E12" s="20">
        <f t="shared" si="0"/>
        <v>548</v>
      </c>
      <c r="F12" s="20">
        <v>510</v>
      </c>
      <c r="G12" s="21">
        <f t="shared" si="3"/>
        <v>0.80351906158357767</v>
      </c>
      <c r="H12" s="21">
        <f t="shared" si="1"/>
        <v>0.80351906158357767</v>
      </c>
      <c r="I12" s="22">
        <f t="shared" si="2"/>
        <v>0.74780058651026393</v>
      </c>
      <c r="J12" s="23">
        <f t="shared" si="4"/>
        <v>4825.3091970802916</v>
      </c>
      <c r="K12" s="24">
        <f t="shared" si="4"/>
        <v>4630.9568627450981</v>
      </c>
      <c r="L12" s="25">
        <v>2644269.44</v>
      </c>
      <c r="M12" s="26">
        <v>2361788</v>
      </c>
    </row>
    <row r="13" spans="1:13" ht="17" thickBot="1" x14ac:dyDescent="0.25">
      <c r="A13" s="18">
        <v>46054</v>
      </c>
      <c r="B13" s="27">
        <v>616</v>
      </c>
      <c r="C13" s="28">
        <f>460-7</f>
        <v>453</v>
      </c>
      <c r="D13" s="28">
        <v>1</v>
      </c>
      <c r="E13" s="27">
        <f t="shared" si="0"/>
        <v>454</v>
      </c>
      <c r="F13" s="27">
        <v>476</v>
      </c>
      <c r="G13" s="29">
        <f t="shared" si="3"/>
        <v>0.73538961038961037</v>
      </c>
      <c r="H13" s="29">
        <f t="shared" si="1"/>
        <v>0.73701298701298701</v>
      </c>
      <c r="I13" s="30">
        <f t="shared" si="2"/>
        <v>0.77272727272727271</v>
      </c>
      <c r="J13" s="31">
        <f t="shared" si="4"/>
        <v>4551.7004625550662</v>
      </c>
      <c r="K13" s="32">
        <f t="shared" si="4"/>
        <v>4452.6701680672268</v>
      </c>
      <c r="L13" s="33">
        <v>2066472.01</v>
      </c>
      <c r="M13" s="34">
        <v>2119471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 Bergsma</dc:creator>
  <cp:lastModifiedBy>Donovan Bergsma</cp:lastModifiedBy>
  <dcterms:created xsi:type="dcterms:W3CDTF">2026-03-11T13:04:23Z</dcterms:created>
  <dcterms:modified xsi:type="dcterms:W3CDTF">2026-03-11T13:09:09Z</dcterms:modified>
</cp:coreProperties>
</file>